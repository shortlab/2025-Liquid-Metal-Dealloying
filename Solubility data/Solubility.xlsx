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wande\Dropbox (MIT)\MIT research\Metal RAC\Invar alloy\Draft\GitHub files\Solubility data\"/>
    </mc:Choice>
  </mc:AlternateContent>
  <xr:revisionPtr revIDLastSave="0" documentId="13_ncr:1_{71E3B25C-CBFF-4A49-983B-3FF61415E28A}" xr6:coauthVersionLast="47" xr6:coauthVersionMax="47" xr10:uidLastSave="{00000000-0000-0000-0000-000000000000}"/>
  <bookViews>
    <workbookView xWindow="28680" yWindow="-345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T9" i="1" s="1"/>
  <c r="W9" i="1" s="1"/>
  <c r="P8" i="1"/>
  <c r="S8" i="1" s="1"/>
  <c r="V8" i="1" s="1"/>
  <c r="P7" i="1"/>
  <c r="R7" i="1" s="1"/>
  <c r="U7" i="1" s="1"/>
  <c r="P6" i="1"/>
  <c r="R6" i="1" s="1"/>
  <c r="U6" i="1" s="1"/>
  <c r="P5" i="1"/>
  <c r="T5" i="1" s="1"/>
  <c r="W5" i="1" s="1"/>
  <c r="P4" i="1"/>
  <c r="T4" i="1" s="1"/>
  <c r="W4" i="1" s="1"/>
  <c r="P3" i="1"/>
  <c r="T3" i="1" s="1"/>
  <c r="W3" i="1" s="1"/>
  <c r="P2" i="1"/>
  <c r="T2" i="1" s="1"/>
  <c r="W2" i="1" s="1"/>
  <c r="K10" i="1"/>
  <c r="K11" i="1"/>
  <c r="J3" i="1"/>
  <c r="J4" i="1"/>
  <c r="I12" i="1"/>
  <c r="D2" i="1"/>
  <c r="E2" i="1" s="1"/>
  <c r="D3" i="1"/>
  <c r="E3" i="1"/>
  <c r="F3" i="1"/>
  <c r="I3" i="1" s="1"/>
  <c r="G3" i="1"/>
  <c r="H3" i="1"/>
  <c r="K3" i="1" s="1"/>
  <c r="D4" i="1"/>
  <c r="E4" i="1"/>
  <c r="F4" i="1"/>
  <c r="I4" i="1" s="1"/>
  <c r="G4" i="1"/>
  <c r="H4" i="1"/>
  <c r="K4" i="1" s="1"/>
  <c r="D5" i="1"/>
  <c r="E5" i="1"/>
  <c r="F5" i="1"/>
  <c r="I5" i="1" s="1"/>
  <c r="G5" i="1"/>
  <c r="J5" i="1" s="1"/>
  <c r="H5" i="1"/>
  <c r="K5" i="1" s="1"/>
  <c r="D6" i="1"/>
  <c r="G6" i="1" s="1"/>
  <c r="J6" i="1" s="1"/>
  <c r="D7" i="1"/>
  <c r="H7" i="1" s="1"/>
  <c r="K7" i="1" s="1"/>
  <c r="D8" i="1"/>
  <c r="H8" i="1" s="1"/>
  <c r="K8" i="1" s="1"/>
  <c r="D9" i="1"/>
  <c r="H9" i="1" s="1"/>
  <c r="K9" i="1" s="1"/>
  <c r="D10" i="1"/>
  <c r="H10" i="1" s="1"/>
  <c r="D11" i="1"/>
  <c r="H11" i="1" s="1"/>
  <c r="D12" i="1"/>
  <c r="F12" i="1" s="1"/>
  <c r="R4" i="1" l="1"/>
  <c r="U4" i="1" s="1"/>
  <c r="Q9" i="1"/>
  <c r="R9" i="1"/>
  <c r="U9" i="1" s="1"/>
  <c r="S6" i="1"/>
  <c r="V6" i="1" s="1"/>
  <c r="R3" i="1"/>
  <c r="U3" i="1" s="1"/>
  <c r="T7" i="1"/>
  <c r="W7" i="1" s="1"/>
  <c r="R2" i="1"/>
  <c r="U2" i="1" s="1"/>
  <c r="S3" i="1"/>
  <c r="V3" i="1" s="1"/>
  <c r="Q2" i="1"/>
  <c r="S2" i="1"/>
  <c r="V2" i="1" s="1"/>
  <c r="Q7" i="1"/>
  <c r="S7" i="1"/>
  <c r="V7" i="1" s="1"/>
  <c r="Q8" i="1"/>
  <c r="R8" i="1"/>
  <c r="U8" i="1" s="1"/>
  <c r="S4" i="1"/>
  <c r="V4" i="1" s="1"/>
  <c r="T8" i="1"/>
  <c r="W8" i="1" s="1"/>
  <c r="S9" i="1"/>
  <c r="V9" i="1" s="1"/>
  <c r="Q6" i="1"/>
  <c r="T6" i="1"/>
  <c r="W6" i="1" s="1"/>
  <c r="Q3" i="1"/>
  <c r="Q4" i="1"/>
  <c r="Q5" i="1"/>
  <c r="R5" i="1"/>
  <c r="U5" i="1" s="1"/>
  <c r="S5" i="1"/>
  <c r="V5" i="1" s="1"/>
  <c r="H2" i="1"/>
  <c r="K2" i="1" s="1"/>
  <c r="G2" i="1"/>
  <c r="J2" i="1" s="1"/>
  <c r="F2" i="1"/>
  <c r="I2" i="1" s="1"/>
  <c r="E12" i="1"/>
  <c r="G12" i="1"/>
  <c r="J12" i="1" s="1"/>
  <c r="H12" i="1"/>
  <c r="K12" i="1" s="1"/>
  <c r="H6" i="1"/>
  <c r="K6" i="1" s="1"/>
  <c r="E8" i="1"/>
  <c r="F8" i="1"/>
  <c r="I8" i="1" s="1"/>
  <c r="E11" i="1"/>
  <c r="E10" i="1"/>
  <c r="E9" i="1"/>
  <c r="E7" i="1"/>
  <c r="E6" i="1"/>
  <c r="F11" i="1"/>
  <c r="I11" i="1" s="1"/>
  <c r="F10" i="1"/>
  <c r="I10" i="1" s="1"/>
  <c r="F9" i="1"/>
  <c r="I9" i="1" s="1"/>
  <c r="F7" i="1"/>
  <c r="I7" i="1" s="1"/>
  <c r="G9" i="1"/>
  <c r="J9" i="1" s="1"/>
  <c r="F6" i="1"/>
  <c r="I6" i="1" s="1"/>
  <c r="G11" i="1"/>
  <c r="J11" i="1" s="1"/>
  <c r="G10" i="1"/>
  <c r="J10" i="1" s="1"/>
  <c r="G8" i="1"/>
  <c r="J8" i="1" s="1"/>
  <c r="G7" i="1"/>
  <c r="J7" i="1" s="1"/>
</calcChain>
</file>

<file path=xl/sharedStrings.xml><?xml version="1.0" encoding="utf-8"?>
<sst xmlns="http://schemas.openxmlformats.org/spreadsheetml/2006/main" count="23" uniqueCount="11">
  <si>
    <t>T/C</t>
  </si>
  <si>
    <t>T/K</t>
  </si>
  <si>
    <t>Fe</t>
  </si>
  <si>
    <t>Cr</t>
  </si>
  <si>
    <t>Ni</t>
  </si>
  <si>
    <t>A</t>
  </si>
  <si>
    <t>B</t>
  </si>
  <si>
    <t>1000/T</t>
  </si>
  <si>
    <t>Fe/wppm</t>
  </si>
  <si>
    <t>Cr/wppm</t>
  </si>
  <si>
    <t>Ni/wppm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</si>
</sst>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workbookViewId="0">
      <selection activeCell="O1" sqref="O1:W1048576"/>
    </sheetView>
  </sheetViews>
  <sheetFormatPr defaultRowHeight="15" x14ac:dyDescent="0.25"/>
  <cols>
    <col min="9" max="10" width="12" bestFit="1" customWidth="1"/>
    <col min="21" max="22" width="12" bestFit="1" customWidth="1"/>
  </cols>
  <sheetData>
    <row r="1" spans="1:23" x14ac:dyDescent="0.25">
      <c r="C1" t="s">
        <v>0</v>
      </c>
      <c r="D1" t="s">
        <v>1</v>
      </c>
      <c r="E1" t="s">
        <v>7</v>
      </c>
      <c r="F1" t="s">
        <v>2</v>
      </c>
      <c r="G1" t="s">
        <v>3</v>
      </c>
      <c r="H1" t="s">
        <v>4</v>
      </c>
      <c r="I1" t="s">
        <v>8</v>
      </c>
      <c r="J1" t="s">
        <v>9</v>
      </c>
      <c r="K1" t="s">
        <v>10</v>
      </c>
      <c r="O1" t="s">
        <v>0</v>
      </c>
      <c r="P1" t="s">
        <v>1</v>
      </c>
      <c r="Q1" t="s">
        <v>7</v>
      </c>
      <c r="R1" t="s">
        <v>2</v>
      </c>
      <c r="S1" t="s">
        <v>3</v>
      </c>
      <c r="T1" t="s">
        <v>4</v>
      </c>
      <c r="U1" t="s">
        <v>8</v>
      </c>
      <c r="V1" t="s">
        <v>9</v>
      </c>
      <c r="W1" t="s">
        <v>10</v>
      </c>
    </row>
    <row r="2" spans="1:23" x14ac:dyDescent="0.25">
      <c r="C2">
        <v>100</v>
      </c>
      <c r="D2">
        <f>C2+273</f>
        <v>373</v>
      </c>
      <c r="E2">
        <f>1000/D2</f>
        <v>2.6809651474530831</v>
      </c>
      <c r="F2">
        <f>$B$15-$C$15/D2</f>
        <v>-4.9093297587131364</v>
      </c>
      <c r="G2">
        <f>$B$16-$C$16/D2</f>
        <v>-10.747345844504022</v>
      </c>
      <c r="H2">
        <f>$B$17-$C$17/D2</f>
        <v>1.597587131367292</v>
      </c>
      <c r="I2">
        <f>10^F2</f>
        <v>1.2321688951879837E-5</v>
      </c>
      <c r="J2">
        <f>10^G2</f>
        <v>1.7891804970238081E-11</v>
      </c>
      <c r="K2">
        <f>10^H2</f>
        <v>39.590148554920788</v>
      </c>
      <c r="O2">
        <v>400</v>
      </c>
      <c r="P2">
        <f t="shared" ref="P2:P9" si="0">O2+273</f>
        <v>673</v>
      </c>
      <c r="Q2">
        <f t="shared" ref="Q2:Q9" si="1">1000/P2</f>
        <v>1.4858841010401189</v>
      </c>
      <c r="R2">
        <f t="shared" ref="R2" si="2">$B$15-$C$15/P2</f>
        <v>-0.78630014858841069</v>
      </c>
      <c r="S2">
        <f t="shared" ref="S2" si="3">$B$16-$C$16/P2</f>
        <v>-2.4439227340267466</v>
      </c>
      <c r="T2">
        <f t="shared" ref="T2" si="4">$B$17-$C$17/P2</f>
        <v>3.2479940564635958</v>
      </c>
      <c r="U2">
        <f t="shared" ref="U2:U9" si="5">10^R2</f>
        <v>0.16356856794323521</v>
      </c>
      <c r="V2">
        <f t="shared" ref="V2:V9" si="6">10^S2</f>
        <v>3.5981334438556388E-3</v>
      </c>
      <c r="W2">
        <f t="shared" ref="W2:W9" si="7">10^T2</f>
        <v>1770.0847336600032</v>
      </c>
    </row>
    <row r="3" spans="1:23" x14ac:dyDescent="0.25">
      <c r="C3">
        <v>200</v>
      </c>
      <c r="D3">
        <f t="shared" ref="D3:D12" si="8">C3+273</f>
        <v>473</v>
      </c>
      <c r="E3">
        <f t="shared" ref="E3:E12" si="9">1000/D3</f>
        <v>2.1141649048625792</v>
      </c>
      <c r="F3">
        <f t="shared" ref="F3:F5" si="10">$B$15-$C$15/D3</f>
        <v>-2.9538689217758991</v>
      </c>
      <c r="G3">
        <f t="shared" ref="G3:G5" si="11">$B$16-$C$16/D3</f>
        <v>-6.8092177589852012</v>
      </c>
      <c r="H3">
        <f t="shared" ref="H3:H5" si="12">$B$17-$C$17/D3</f>
        <v>2.3803382663847779</v>
      </c>
      <c r="I3">
        <f t="shared" ref="I3:I12" si="13">10^F3</f>
        <v>1.1120673194197966E-3</v>
      </c>
      <c r="J3">
        <f t="shared" ref="J3:J12" si="14">10^G3</f>
        <v>1.5516088248819767E-7</v>
      </c>
      <c r="K3">
        <f t="shared" ref="K3:K12" si="15">10^H3</f>
        <v>240.07020669523942</v>
      </c>
      <c r="O3">
        <v>500</v>
      </c>
      <c r="P3">
        <f t="shared" si="0"/>
        <v>773</v>
      </c>
      <c r="Q3">
        <f t="shared" si="1"/>
        <v>1.2936610608020698</v>
      </c>
      <c r="R3">
        <f>$B$15-$C$15/P3</f>
        <v>-0.1231306597671411</v>
      </c>
      <c r="S3">
        <f>$B$16-$C$16/P3</f>
        <v>-1.1083570504527822</v>
      </c>
      <c r="T3">
        <f>$B$17-$C$17/P3</f>
        <v>3.5134540750323415</v>
      </c>
      <c r="U3">
        <f t="shared" si="5"/>
        <v>0.75312894686190168</v>
      </c>
      <c r="V3">
        <f t="shared" si="6"/>
        <v>7.7918924521330937E-2</v>
      </c>
      <c r="W3">
        <f t="shared" si="7"/>
        <v>3261.7755655101055</v>
      </c>
    </row>
    <row r="4" spans="1:23" x14ac:dyDescent="0.25">
      <c r="C4">
        <v>300</v>
      </c>
      <c r="D4">
        <f t="shared" si="8"/>
        <v>573</v>
      </c>
      <c r="E4">
        <f t="shared" si="9"/>
        <v>1.7452006980802792</v>
      </c>
      <c r="F4">
        <f t="shared" si="10"/>
        <v>-1.6809424083769633</v>
      </c>
      <c r="G4">
        <f t="shared" si="11"/>
        <v>-4.2456544502617808</v>
      </c>
      <c r="H4">
        <f t="shared" si="12"/>
        <v>2.8898778359511343</v>
      </c>
      <c r="I4">
        <f t="shared" si="13"/>
        <v>2.0847673249549611E-2</v>
      </c>
      <c r="J4">
        <f t="shared" si="14"/>
        <v>5.6799635632608528E-5</v>
      </c>
      <c r="K4">
        <f t="shared" si="15"/>
        <v>776.02879436477326</v>
      </c>
      <c r="O4">
        <v>600</v>
      </c>
      <c r="P4">
        <f t="shared" si="0"/>
        <v>873</v>
      </c>
      <c r="Q4">
        <f t="shared" si="1"/>
        <v>1.1454753722794959</v>
      </c>
      <c r="R4">
        <f>$B$15-$C$15/P4</f>
        <v>0.38810996563573852</v>
      </c>
      <c r="S4">
        <f>$B$16-$C$16/P4</f>
        <v>-7.8762886597938397E-2</v>
      </c>
      <c r="T4">
        <f>$B$17-$C$17/P4</f>
        <v>3.7180985108820161</v>
      </c>
      <c r="U4">
        <f t="shared" si="5"/>
        <v>2.4440493204321445</v>
      </c>
      <c r="V4">
        <f t="shared" si="6"/>
        <v>0.83413647696896498</v>
      </c>
      <c r="W4">
        <f t="shared" si="7"/>
        <v>5225.1469740401071</v>
      </c>
    </row>
    <row r="5" spans="1:23" x14ac:dyDescent="0.25">
      <c r="C5">
        <v>400</v>
      </c>
      <c r="D5">
        <f t="shared" si="8"/>
        <v>673</v>
      </c>
      <c r="E5">
        <f t="shared" si="9"/>
        <v>1.4858841010401189</v>
      </c>
      <c r="F5">
        <f t="shared" si="10"/>
        <v>-0.78630014858841069</v>
      </c>
      <c r="G5">
        <f t="shared" si="11"/>
        <v>-2.4439227340267466</v>
      </c>
      <c r="H5">
        <f t="shared" si="12"/>
        <v>3.2479940564635958</v>
      </c>
      <c r="I5">
        <f t="shared" si="13"/>
        <v>0.16356856794323521</v>
      </c>
      <c r="J5">
        <f t="shared" si="14"/>
        <v>3.5981334438556388E-3</v>
      </c>
      <c r="K5">
        <f t="shared" si="15"/>
        <v>1770.0847336600032</v>
      </c>
      <c r="O5">
        <v>700</v>
      </c>
      <c r="P5">
        <f t="shared" si="0"/>
        <v>973</v>
      </c>
      <c r="Q5">
        <f t="shared" si="1"/>
        <v>1.0277492291880781</v>
      </c>
      <c r="R5">
        <f>$B$15-$C$15/P5</f>
        <v>0.79426515930113029</v>
      </c>
      <c r="S5">
        <f>$B$16-$C$16/P5</f>
        <v>0.73919835560123293</v>
      </c>
      <c r="T5">
        <f>$B$17-$C$17/P5</f>
        <v>3.8806783144912638</v>
      </c>
      <c r="U5">
        <f t="shared" si="5"/>
        <v>6.2268034777420391</v>
      </c>
      <c r="V5">
        <f t="shared" si="6"/>
        <v>5.4852743701048832</v>
      </c>
      <c r="W5">
        <f t="shared" si="7"/>
        <v>7597.6330551333394</v>
      </c>
    </row>
    <row r="6" spans="1:23" x14ac:dyDescent="0.25">
      <c r="C6">
        <v>500</v>
      </c>
      <c r="D6">
        <f t="shared" si="8"/>
        <v>773</v>
      </c>
      <c r="E6">
        <f t="shared" si="9"/>
        <v>1.2936610608020698</v>
      </c>
      <c r="F6">
        <f>$B$15-$C$15/D6</f>
        <v>-0.1231306597671411</v>
      </c>
      <c r="G6">
        <f>$B$16-$C$16/D6</f>
        <v>-1.1083570504527822</v>
      </c>
      <c r="H6">
        <f>$B$17-$C$17/D6</f>
        <v>3.5134540750323415</v>
      </c>
      <c r="I6">
        <f t="shared" si="13"/>
        <v>0.75312894686190168</v>
      </c>
      <c r="J6">
        <f t="shared" si="14"/>
        <v>7.7918924521330937E-2</v>
      </c>
      <c r="K6">
        <f t="shared" si="15"/>
        <v>3261.7755655101055</v>
      </c>
      <c r="O6">
        <v>800</v>
      </c>
      <c r="P6">
        <f t="shared" si="0"/>
        <v>1073</v>
      </c>
      <c r="Q6">
        <f t="shared" si="1"/>
        <v>0.93196644920782856</v>
      </c>
      <c r="R6">
        <f>$B$15-$C$15/P6</f>
        <v>1.1247157502329914</v>
      </c>
      <c r="S6">
        <f>$B$16-$C$16/P6</f>
        <v>1.4046971109040074</v>
      </c>
      <c r="T6">
        <f>$B$17-$C$17/P6</f>
        <v>4.0129543336439886</v>
      </c>
      <c r="U6">
        <f t="shared" si="5"/>
        <v>13.326489155822062</v>
      </c>
      <c r="V6">
        <f t="shared" si="6"/>
        <v>25.392011780756171</v>
      </c>
      <c r="W6">
        <f t="shared" si="7"/>
        <v>10302.777803461899</v>
      </c>
    </row>
    <row r="7" spans="1:23" x14ac:dyDescent="0.25">
      <c r="C7">
        <v>600</v>
      </c>
      <c r="D7">
        <f t="shared" si="8"/>
        <v>873</v>
      </c>
      <c r="E7">
        <f t="shared" si="9"/>
        <v>1.1454753722794959</v>
      </c>
      <c r="F7">
        <f>$B$15-$C$15/D7</f>
        <v>0.38810996563573852</v>
      </c>
      <c r="G7">
        <f>$B$16-$C$16/D7</f>
        <v>-7.8762886597938397E-2</v>
      </c>
      <c r="H7">
        <f>$B$17-$C$17/D7</f>
        <v>3.7180985108820161</v>
      </c>
      <c r="I7">
        <f t="shared" si="13"/>
        <v>2.4440493204321445</v>
      </c>
      <c r="J7">
        <f t="shared" si="14"/>
        <v>0.83413647696896498</v>
      </c>
      <c r="K7">
        <f t="shared" si="15"/>
        <v>5225.1469740401071</v>
      </c>
      <c r="O7">
        <v>900</v>
      </c>
      <c r="P7">
        <f t="shared" si="0"/>
        <v>1173</v>
      </c>
      <c r="Q7">
        <f t="shared" si="1"/>
        <v>0.85251491901108267</v>
      </c>
      <c r="R7">
        <f>$B$15-$C$15/P7</f>
        <v>1.3988235294117644</v>
      </c>
      <c r="S7">
        <f>$B$16-$C$16/P7</f>
        <v>1.9567263427109971</v>
      </c>
      <c r="T7">
        <f>$B$17-$C$17/P7</f>
        <v>4.1226768968456948</v>
      </c>
      <c r="U7">
        <f t="shared" si="5"/>
        <v>25.050911311076625</v>
      </c>
      <c r="V7">
        <f t="shared" si="6"/>
        <v>90.516206117441214</v>
      </c>
      <c r="W7">
        <f t="shared" si="7"/>
        <v>13264.07280009848</v>
      </c>
    </row>
    <row r="8" spans="1:23" x14ac:dyDescent="0.25">
      <c r="C8">
        <v>700</v>
      </c>
      <c r="D8">
        <f t="shared" si="8"/>
        <v>973</v>
      </c>
      <c r="E8">
        <f t="shared" si="9"/>
        <v>1.0277492291880781</v>
      </c>
      <c r="F8">
        <f>$B$15-$C$15/D8</f>
        <v>0.79426515930113029</v>
      </c>
      <c r="G8">
        <f>$B$16-$C$16/D8</f>
        <v>0.73919835560123293</v>
      </c>
      <c r="H8">
        <f>$B$17-$C$17/D8</f>
        <v>3.8806783144912638</v>
      </c>
      <c r="I8">
        <f t="shared" si="13"/>
        <v>6.2268034777420391</v>
      </c>
      <c r="J8">
        <f t="shared" si="14"/>
        <v>5.4852743701048832</v>
      </c>
      <c r="K8">
        <f t="shared" si="15"/>
        <v>7597.6330551333394</v>
      </c>
      <c r="O8">
        <v>1000</v>
      </c>
      <c r="P8">
        <f t="shared" si="0"/>
        <v>1273</v>
      </c>
      <c r="Q8">
        <f t="shared" si="1"/>
        <v>0.78554595443833464</v>
      </c>
      <c r="R8">
        <f>$B$15-$C$15/P8</f>
        <v>1.6298664571877453</v>
      </c>
      <c r="S8">
        <f>$B$16-$C$16/P8</f>
        <v>2.4220267085624512</v>
      </c>
      <c r="T8">
        <f>$B$17-$C$17/P8</f>
        <v>4.2151610369206596</v>
      </c>
      <c r="U8">
        <f t="shared" si="5"/>
        <v>42.644836845678604</v>
      </c>
      <c r="V8">
        <f t="shared" si="6"/>
        <v>264.257126712218</v>
      </c>
      <c r="W8">
        <f t="shared" si="7"/>
        <v>16411.982186765566</v>
      </c>
    </row>
    <row r="9" spans="1:23" x14ac:dyDescent="0.25">
      <c r="C9">
        <v>800</v>
      </c>
      <c r="D9">
        <f t="shared" si="8"/>
        <v>1073</v>
      </c>
      <c r="E9">
        <f t="shared" si="9"/>
        <v>0.93196644920782856</v>
      </c>
      <c r="F9">
        <f>$B$15-$C$15/D9</f>
        <v>1.1247157502329914</v>
      </c>
      <c r="G9">
        <f>$B$16-$C$16/D9</f>
        <v>1.4046971109040074</v>
      </c>
      <c r="H9">
        <f>$B$17-$C$17/D9</f>
        <v>4.0129543336439886</v>
      </c>
      <c r="I9">
        <f t="shared" si="13"/>
        <v>13.326489155822062</v>
      </c>
      <c r="J9">
        <f t="shared" si="14"/>
        <v>25.392011780756171</v>
      </c>
      <c r="K9">
        <f t="shared" si="15"/>
        <v>10302.777803461899</v>
      </c>
      <c r="O9">
        <v>1100</v>
      </c>
      <c r="P9">
        <f t="shared" si="0"/>
        <v>1373</v>
      </c>
      <c r="Q9">
        <f t="shared" si="1"/>
        <v>0.72833211944646759</v>
      </c>
      <c r="R9">
        <f>$B$15-$C$15/P9</f>
        <v>1.8272541879096869</v>
      </c>
      <c r="S9">
        <f>$B$16-$C$16/P9</f>
        <v>2.8195484340859434</v>
      </c>
      <c r="T9">
        <f>$B$17-$C$17/P9</f>
        <v>4.2941733430444282</v>
      </c>
      <c r="U9">
        <f t="shared" si="5"/>
        <v>67.182194806965185</v>
      </c>
      <c r="V9">
        <f t="shared" si="6"/>
        <v>660.00683650055521</v>
      </c>
      <c r="W9">
        <f t="shared" si="7"/>
        <v>19686.719029267402</v>
      </c>
    </row>
    <row r="10" spans="1:23" x14ac:dyDescent="0.25">
      <c r="C10">
        <v>900</v>
      </c>
      <c r="D10">
        <f t="shared" si="8"/>
        <v>1173</v>
      </c>
      <c r="E10">
        <f t="shared" si="9"/>
        <v>0.85251491901108267</v>
      </c>
      <c r="F10">
        <f>$B$15-$C$15/D10</f>
        <v>1.3988235294117644</v>
      </c>
      <c r="G10">
        <f>$B$16-$C$16/D10</f>
        <v>1.9567263427109971</v>
      </c>
      <c r="H10">
        <f>$B$17-$C$17/D10</f>
        <v>4.1226768968456948</v>
      </c>
      <c r="I10">
        <f t="shared" si="13"/>
        <v>25.050911311076625</v>
      </c>
      <c r="J10">
        <f t="shared" si="14"/>
        <v>90.516206117441214</v>
      </c>
      <c r="K10">
        <f t="shared" si="15"/>
        <v>13264.07280009848</v>
      </c>
    </row>
    <row r="11" spans="1:23" x14ac:dyDescent="0.25">
      <c r="C11">
        <v>1000</v>
      </c>
      <c r="D11">
        <f t="shared" si="8"/>
        <v>1273</v>
      </c>
      <c r="E11">
        <f t="shared" si="9"/>
        <v>0.78554595443833464</v>
      </c>
      <c r="F11">
        <f>$B$15-$C$15/D11</f>
        <v>1.6298664571877453</v>
      </c>
      <c r="G11">
        <f>$B$16-$C$16/D11</f>
        <v>2.4220267085624512</v>
      </c>
      <c r="H11">
        <f>$B$17-$C$17/D11</f>
        <v>4.2151610369206596</v>
      </c>
      <c r="I11">
        <f t="shared" si="13"/>
        <v>42.644836845678604</v>
      </c>
      <c r="J11">
        <f t="shared" si="14"/>
        <v>264.257126712218</v>
      </c>
      <c r="K11">
        <f t="shared" si="15"/>
        <v>16411.982186765566</v>
      </c>
    </row>
    <row r="12" spans="1:23" x14ac:dyDescent="0.25">
      <c r="C12">
        <v>1100</v>
      </c>
      <c r="D12">
        <f t="shared" si="8"/>
        <v>1373</v>
      </c>
      <c r="E12">
        <f t="shared" si="9"/>
        <v>0.72833211944646759</v>
      </c>
      <c r="F12">
        <f>$B$15-$C$15/D12</f>
        <v>1.8272541879096869</v>
      </c>
      <c r="G12">
        <f>$B$16-$C$16/D12</f>
        <v>2.8195484340859434</v>
      </c>
      <c r="H12">
        <f>$B$17-$C$17/D12</f>
        <v>4.2941733430444282</v>
      </c>
      <c r="I12">
        <f t="shared" si="13"/>
        <v>67.182194806965185</v>
      </c>
      <c r="J12">
        <f t="shared" si="14"/>
        <v>660.00683650055521</v>
      </c>
      <c r="K12">
        <f t="shared" si="15"/>
        <v>19686.719029267402</v>
      </c>
    </row>
    <row r="14" spans="1:23" x14ac:dyDescent="0.25">
      <c r="B14" t="s">
        <v>5</v>
      </c>
      <c r="C14" t="s">
        <v>6</v>
      </c>
    </row>
    <row r="15" spans="1:23" x14ac:dyDescent="0.25">
      <c r="A15" t="s">
        <v>2</v>
      </c>
      <c r="B15">
        <v>4.34</v>
      </c>
      <c r="C15">
        <v>3450</v>
      </c>
    </row>
    <row r="16" spans="1:23" x14ac:dyDescent="0.25">
      <c r="A16" t="s">
        <v>3</v>
      </c>
      <c r="B16">
        <v>7.88</v>
      </c>
      <c r="C16">
        <v>6948</v>
      </c>
    </row>
    <row r="17" spans="1:3" x14ac:dyDescent="0.25">
      <c r="A17" t="s">
        <v>4</v>
      </c>
      <c r="B17">
        <v>5.3</v>
      </c>
      <c r="C17">
        <v>1381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2015-06-05T18:17:20Z</dcterms:created>
  <dcterms:modified xsi:type="dcterms:W3CDTF">2025-07-12T19:08:33Z</dcterms:modified>
</cp:coreProperties>
</file>