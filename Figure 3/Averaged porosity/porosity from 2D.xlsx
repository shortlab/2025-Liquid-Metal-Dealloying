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 (Personal)\MIT Research\Invar alloy\Draft\acta\Revision\"/>
    </mc:Choice>
  </mc:AlternateContent>
  <xr:revisionPtr revIDLastSave="0" documentId="13_ncr:1_{6DEE5E46-4B63-45C4-B893-14DB9457E87C}" xr6:coauthVersionLast="47" xr6:coauthVersionMax="47" xr10:uidLastSave="{00000000-0000-0000-0000-000000000000}"/>
  <bookViews>
    <workbookView xWindow="19090" yWindow="-110" windowWidth="38620" windowHeight="21100" xr2:uid="{2E6416FE-A6F3-4E4F-BA67-92F991FBD1C3}"/>
  </bookViews>
  <sheets>
    <sheet name="500C" sheetId="1" r:id="rId1"/>
    <sheet name="600C" sheetId="2" r:id="rId2"/>
    <sheet name="675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1" l="1"/>
  <c r="C30" i="1"/>
  <c r="F27" i="3"/>
  <c r="D8" i="3"/>
  <c r="F21" i="3"/>
  <c r="F16" i="3"/>
  <c r="F17" i="3"/>
  <c r="F18" i="3"/>
  <c r="F19" i="3"/>
  <c r="F20" i="3"/>
  <c r="F15" i="3"/>
  <c r="C22" i="2"/>
  <c r="C21" i="2"/>
  <c r="C27" i="1"/>
  <c r="C26" i="1"/>
  <c r="C18" i="1"/>
  <c r="C17" i="1"/>
  <c r="D3" i="1"/>
  <c r="D4" i="1"/>
  <c r="D5" i="1"/>
  <c r="D2" i="1"/>
  <c r="D8" i="1" s="1"/>
  <c r="F26" i="3" l="1"/>
  <c r="F23" i="3"/>
  <c r="F24" i="3"/>
  <c r="D7" i="1"/>
</calcChain>
</file>

<file path=xl/sharedStrings.xml><?xml version="1.0" encoding="utf-8"?>
<sst xmlns="http://schemas.openxmlformats.org/spreadsheetml/2006/main" count="32" uniqueCount="15">
  <si>
    <t>lead ratio</t>
  </si>
  <si>
    <t>pore ratio</t>
  </si>
  <si>
    <t>average</t>
  </si>
  <si>
    <t>sum</t>
  </si>
  <si>
    <t>deviation</t>
  </si>
  <si>
    <t>500C_1</t>
  </si>
  <si>
    <t>500C_2</t>
  </si>
  <si>
    <t>500C_3</t>
  </si>
  <si>
    <t>Total sum</t>
  </si>
  <si>
    <t>total deviation</t>
  </si>
  <si>
    <t>600C-1</t>
  </si>
  <si>
    <t>600C-2</t>
  </si>
  <si>
    <t>675C_1</t>
  </si>
  <si>
    <t>Lead ratio</t>
  </si>
  <si>
    <t>675C_2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</si>
</sst>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772A-DC4F-4A8A-900B-CF182F75311E}">
  <dimension ref="A1:D31"/>
  <sheetViews>
    <sheetView tabSelected="1" workbookViewId="0">
      <selection activeCell="C34" sqref="C34"/>
    </sheetView>
  </sheetViews>
  <sheetFormatPr defaultRowHeight="15" x14ac:dyDescent="0.25"/>
  <sheetData>
    <row r="1" spans="1:4" x14ac:dyDescent="0.25">
      <c r="A1" t="s">
        <v>5</v>
      </c>
      <c r="B1" t="s">
        <v>0</v>
      </c>
      <c r="C1" t="s">
        <v>1</v>
      </c>
      <c r="D1" t="s">
        <v>3</v>
      </c>
    </row>
    <row r="2" spans="1:4" x14ac:dyDescent="0.25">
      <c r="B2">
        <v>26.6</v>
      </c>
      <c r="C2">
        <v>8.68</v>
      </c>
      <c r="D2">
        <f>B2+C2</f>
        <v>35.28</v>
      </c>
    </row>
    <row r="3" spans="1:4" x14ac:dyDescent="0.25">
      <c r="B3">
        <v>26.643000000000001</v>
      </c>
      <c r="C3">
        <v>8.5939999999999994</v>
      </c>
      <c r="D3">
        <f t="shared" ref="D3:D5" si="0">B3+C3</f>
        <v>35.237000000000002</v>
      </c>
    </row>
    <row r="4" spans="1:4" x14ac:dyDescent="0.25">
      <c r="B4">
        <v>27.734000000000002</v>
      </c>
      <c r="C4">
        <v>9.0850000000000009</v>
      </c>
      <c r="D4">
        <f t="shared" si="0"/>
        <v>36.819000000000003</v>
      </c>
    </row>
    <row r="5" spans="1:4" x14ac:dyDescent="0.25">
      <c r="B5">
        <v>26.869</v>
      </c>
      <c r="C5">
        <v>7.7839999999999998</v>
      </c>
      <c r="D5">
        <f t="shared" si="0"/>
        <v>34.652999999999999</v>
      </c>
    </row>
    <row r="7" spans="1:4" x14ac:dyDescent="0.25">
      <c r="C7" t="s">
        <v>2</v>
      </c>
      <c r="D7">
        <f>AVERAGE(D2:D5)</f>
        <v>35.497250000000001</v>
      </c>
    </row>
    <row r="8" spans="1:4" x14ac:dyDescent="0.25">
      <c r="C8" t="s">
        <v>4</v>
      </c>
      <c r="D8">
        <f>_xlfn.STDEV.P(D2:D5)</f>
        <v>0.80229495043905263</v>
      </c>
    </row>
    <row r="10" spans="1:4" x14ac:dyDescent="0.25">
      <c r="A10" t="s">
        <v>6</v>
      </c>
      <c r="C10" t="s">
        <v>0</v>
      </c>
    </row>
    <row r="11" spans="1:4" x14ac:dyDescent="0.25">
      <c r="C11">
        <v>35.765999999999998</v>
      </c>
    </row>
    <row r="12" spans="1:4" x14ac:dyDescent="0.25">
      <c r="C12">
        <v>35.750999999999998</v>
      </c>
    </row>
    <row r="13" spans="1:4" x14ac:dyDescent="0.25">
      <c r="C13">
        <v>34.479999999999997</v>
      </c>
    </row>
    <row r="14" spans="1:4" x14ac:dyDescent="0.25">
      <c r="C14">
        <v>36.475000000000001</v>
      </c>
    </row>
    <row r="15" spans="1:4" x14ac:dyDescent="0.25">
      <c r="C15">
        <v>34.720999999999997</v>
      </c>
    </row>
    <row r="17" spans="1:3" x14ac:dyDescent="0.25">
      <c r="B17" t="s">
        <v>2</v>
      </c>
      <c r="C17">
        <f>AVERAGE(C11:C15)</f>
        <v>35.438599999999994</v>
      </c>
    </row>
    <row r="18" spans="1:3" x14ac:dyDescent="0.25">
      <c r="B18" t="s">
        <v>4</v>
      </c>
      <c r="C18">
        <f>_xlfn.STDEV.P(C11:C15)</f>
        <v>0.73658308424780028</v>
      </c>
    </row>
    <row r="20" spans="1:3" x14ac:dyDescent="0.25">
      <c r="A20" t="s">
        <v>7</v>
      </c>
      <c r="C20" t="s">
        <v>0</v>
      </c>
    </row>
    <row r="21" spans="1:3" x14ac:dyDescent="0.25">
      <c r="C21">
        <v>37.326999999999998</v>
      </c>
    </row>
    <row r="22" spans="1:3" x14ac:dyDescent="0.25">
      <c r="C22">
        <v>34.679000000000002</v>
      </c>
    </row>
    <row r="23" spans="1:3" x14ac:dyDescent="0.25">
      <c r="C23">
        <v>37.14</v>
      </c>
    </row>
    <row r="24" spans="1:3" x14ac:dyDescent="0.25">
      <c r="C24">
        <v>29.782</v>
      </c>
    </row>
    <row r="26" spans="1:3" x14ac:dyDescent="0.25">
      <c r="B26" t="s">
        <v>2</v>
      </c>
      <c r="C26">
        <f>AVERAGE(C21:C24)</f>
        <v>34.731999999999999</v>
      </c>
    </row>
    <row r="27" spans="1:3" x14ac:dyDescent="0.25">
      <c r="B27" t="s">
        <v>4</v>
      </c>
      <c r="C27">
        <f>_xlfn.STDEV.P(C21:C24)</f>
        <v>3.0429343568338765</v>
      </c>
    </row>
    <row r="30" spans="1:3" x14ac:dyDescent="0.25">
      <c r="A30" t="s">
        <v>8</v>
      </c>
      <c r="C30">
        <f>AVERAGE(D2:D5,C11:C15,C21:C24)</f>
        <v>35.239230769230765</v>
      </c>
    </row>
    <row r="31" spans="1:3" x14ac:dyDescent="0.25">
      <c r="A31" t="s">
        <v>9</v>
      </c>
      <c r="C31">
        <f>_xlfn.STDEV.P(D2:D5,C11:C15,C21:C24)</f>
        <v>1.8359539190566327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E4C2-73D1-4914-BF67-CE97514AF468}">
  <dimension ref="A1:C22"/>
  <sheetViews>
    <sheetView workbookViewId="0">
      <selection activeCell="C22" sqref="C22"/>
    </sheetView>
  </sheetViews>
  <sheetFormatPr defaultRowHeight="15" x14ac:dyDescent="0.25"/>
  <sheetData>
    <row r="1" spans="1:3" x14ac:dyDescent="0.25">
      <c r="A1" t="s">
        <v>10</v>
      </c>
      <c r="C1" t="s">
        <v>0</v>
      </c>
    </row>
    <row r="2" spans="1:3" x14ac:dyDescent="0.25">
      <c r="C2">
        <v>30.353999999999999</v>
      </c>
    </row>
    <row r="3" spans="1:3" x14ac:dyDescent="0.25">
      <c r="C3">
        <v>30.446000000000002</v>
      </c>
    </row>
    <row r="4" spans="1:3" x14ac:dyDescent="0.25">
      <c r="C4">
        <v>29.661999999999999</v>
      </c>
    </row>
    <row r="5" spans="1:3" x14ac:dyDescent="0.25">
      <c r="C5">
        <v>33.683999999999997</v>
      </c>
    </row>
    <row r="6" spans="1:3" x14ac:dyDescent="0.25">
      <c r="C6">
        <v>30.1</v>
      </c>
    </row>
    <row r="7" spans="1:3" x14ac:dyDescent="0.25">
      <c r="C7">
        <v>29.105</v>
      </c>
    </row>
    <row r="8" spans="1:3" x14ac:dyDescent="0.25">
      <c r="C8">
        <v>28.042000000000002</v>
      </c>
    </row>
    <row r="13" spans="1:3" x14ac:dyDescent="0.25">
      <c r="A13" t="s">
        <v>11</v>
      </c>
      <c r="C13">
        <v>28.547999999999998</v>
      </c>
    </row>
    <row r="14" spans="1:3" x14ac:dyDescent="0.25">
      <c r="C14">
        <v>32.161999999999999</v>
      </c>
    </row>
    <row r="15" spans="1:3" x14ac:dyDescent="0.25">
      <c r="C15">
        <v>27.681999999999999</v>
      </c>
    </row>
    <row r="16" spans="1:3" x14ac:dyDescent="0.25">
      <c r="C16">
        <v>27.901</v>
      </c>
    </row>
    <row r="17" spans="2:3" x14ac:dyDescent="0.25">
      <c r="C17">
        <v>26.437000000000001</v>
      </c>
    </row>
    <row r="18" spans="2:3" x14ac:dyDescent="0.25">
      <c r="C18">
        <v>28.097999999999999</v>
      </c>
    </row>
    <row r="19" spans="2:3" x14ac:dyDescent="0.25">
      <c r="C19">
        <v>30.81</v>
      </c>
    </row>
    <row r="21" spans="2:3" x14ac:dyDescent="0.25">
      <c r="B21" t="s">
        <v>2</v>
      </c>
      <c r="C21">
        <f>AVERAGE(C2:C8,C13:C19)</f>
        <v>29.502214285714285</v>
      </c>
    </row>
    <row r="22" spans="2:3" x14ac:dyDescent="0.25">
      <c r="B22" t="s">
        <v>4</v>
      </c>
      <c r="C22">
        <f>_xlfn.STDEV.P(C2:C8,C13:C19)</f>
        <v>1.8654030272521891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FBB7-9B17-4B98-8B20-0EC8F1736DBE}">
  <dimension ref="A1:F27"/>
  <sheetViews>
    <sheetView workbookViewId="0">
      <selection activeCell="F27" sqref="F27"/>
    </sheetView>
  </sheetViews>
  <sheetFormatPr defaultRowHeight="15" x14ac:dyDescent="0.25"/>
  <sheetData>
    <row r="1" spans="1:6" x14ac:dyDescent="0.25">
      <c r="A1" t="s">
        <v>12</v>
      </c>
      <c r="D1" t="s">
        <v>13</v>
      </c>
    </row>
    <row r="2" spans="1:6" x14ac:dyDescent="0.25">
      <c r="D2">
        <v>29.093</v>
      </c>
    </row>
    <row r="3" spans="1:6" x14ac:dyDescent="0.25">
      <c r="D3">
        <v>26.542999999999999</v>
      </c>
    </row>
    <row r="4" spans="1:6" x14ac:dyDescent="0.25">
      <c r="D4">
        <v>28.268999999999998</v>
      </c>
    </row>
    <row r="5" spans="1:6" x14ac:dyDescent="0.25">
      <c r="D5">
        <v>30.213000000000001</v>
      </c>
    </row>
    <row r="6" spans="1:6" x14ac:dyDescent="0.25">
      <c r="D6">
        <v>30.491</v>
      </c>
    </row>
    <row r="8" spans="1:6" x14ac:dyDescent="0.25">
      <c r="C8" t="s">
        <v>2</v>
      </c>
      <c r="D8">
        <f>AVERAGE(D2:D6)</f>
        <v>28.921799999999998</v>
      </c>
    </row>
    <row r="14" spans="1:6" x14ac:dyDescent="0.25">
      <c r="A14" t="s">
        <v>14</v>
      </c>
      <c r="D14" t="s">
        <v>13</v>
      </c>
      <c r="E14" t="s">
        <v>1</v>
      </c>
      <c r="F14" t="s">
        <v>3</v>
      </c>
    </row>
    <row r="15" spans="1:6" x14ac:dyDescent="0.25">
      <c r="D15">
        <v>19.312000000000001</v>
      </c>
      <c r="E15">
        <v>13.271000000000001</v>
      </c>
      <c r="F15">
        <f>D15+E15</f>
        <v>32.582999999999998</v>
      </c>
    </row>
    <row r="16" spans="1:6" x14ac:dyDescent="0.25">
      <c r="D16">
        <v>13.340999999999999</v>
      </c>
      <c r="E16">
        <v>14.27</v>
      </c>
      <c r="F16">
        <f t="shared" ref="F16:F21" si="0">D16+E16</f>
        <v>27.610999999999997</v>
      </c>
    </row>
    <row r="17" spans="4:6" x14ac:dyDescent="0.25">
      <c r="D17">
        <v>18.052</v>
      </c>
      <c r="E17">
        <v>14.343</v>
      </c>
      <c r="F17">
        <f t="shared" si="0"/>
        <v>32.394999999999996</v>
      </c>
    </row>
    <row r="18" spans="4:6" x14ac:dyDescent="0.25">
      <c r="D18">
        <v>15.832000000000001</v>
      </c>
      <c r="E18">
        <v>14.525</v>
      </c>
      <c r="F18">
        <f t="shared" si="0"/>
        <v>30.356999999999999</v>
      </c>
    </row>
    <row r="19" spans="4:6" x14ac:dyDescent="0.25">
      <c r="D19">
        <v>15.401999999999999</v>
      </c>
      <c r="E19">
        <v>13.276</v>
      </c>
      <c r="F19">
        <f t="shared" si="0"/>
        <v>28.677999999999997</v>
      </c>
    </row>
    <row r="20" spans="4:6" x14ac:dyDescent="0.25">
      <c r="D20">
        <v>16.591999999999999</v>
      </c>
      <c r="E20">
        <v>9.5350000000000001</v>
      </c>
      <c r="F20">
        <f t="shared" si="0"/>
        <v>26.126999999999999</v>
      </c>
    </row>
    <row r="21" spans="4:6" x14ac:dyDescent="0.25">
      <c r="D21">
        <v>13.686999999999999</v>
      </c>
      <c r="E21">
        <v>14.582000000000001</v>
      </c>
      <c r="F21">
        <f t="shared" si="0"/>
        <v>28.268999999999998</v>
      </c>
    </row>
    <row r="23" spans="4:6" x14ac:dyDescent="0.25">
      <c r="E23" t="s">
        <v>2</v>
      </c>
      <c r="F23">
        <f>AVERAGE(F15:F21)</f>
        <v>29.431428571428572</v>
      </c>
    </row>
    <row r="24" spans="4:6" x14ac:dyDescent="0.25">
      <c r="E24" t="s">
        <v>4</v>
      </c>
      <c r="F24">
        <f>_xlfn.STDEV.P(F15:F21)</f>
        <v>2.2590751493946017</v>
      </c>
    </row>
    <row r="26" spans="4:6" x14ac:dyDescent="0.25">
      <c r="D26" t="s">
        <v>2</v>
      </c>
      <c r="F26">
        <f>AVERAGE(D2:D6,F15:F21)</f>
        <v>29.21908333333333</v>
      </c>
    </row>
    <row r="27" spans="4:6" x14ac:dyDescent="0.25">
      <c r="D27" t="s">
        <v>4</v>
      </c>
      <c r="F27">
        <f>_xlfn.STDEV.P(D2:D6,F15:F21)</f>
        <v>1.9732628840887423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500C</vt:lpstr>
      <vt:lpstr>600C</vt:lpstr>
      <vt:lpstr>675C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2026-06-11T20:00:50Z</dcterms:created>
  <dcterms:modified xsi:type="dcterms:W3CDTF">2026-06-19T03:36:53Z</dcterms:modified>
</cp:coreProperties>
</file>